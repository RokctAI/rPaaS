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.00"/>
  </numFmts>
  <fonts count="6">
    <font>
      <name val="Calibri"/>
      <family val="2"/>
      <color theme="1"/>
      <sz val="11"/>
      <scheme val="minor"/>
    </font>
    <font>
      <b val="1"/>
      <color rgb="009C0006"/>
    </font>
    <font>
      <i val="1"/>
      <sz val="9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4" borderId="0" pivotButton="0" quotePrefix="0" xfId="0"/>
    <xf numFmtId="164" fontId="3" fillId="4" borderId="0" pivotButton="0" quotePrefix="0" xfId="0"/>
    <xf numFmtId="0" fontId="0" fillId="4" borderId="0" pivotButton="0" quotePrefix="0" xfId="0"/>
    <xf numFmtId="164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7" customWidth="1" min="3" max="3"/>
    <col width="17" customWidth="1" min="4" max="4"/>
    <col width="18" customWidth="1" min="5" max="5"/>
  </cols>
  <sheetData>
    <row r="1">
      <c r="A1" s="1" t="inlineStr">
        <is>
          <t>MOCK BID — FICTIONAL BIDDER — NOT FOR SUBMISSION</t>
        </is>
      </c>
    </row>
    <row r="2">
      <c r="A2" s="2" t="inlineStr">
        <is>
          <t>All values are the fictional Umzansi Infrastructure Group (Pty) Ltd demo bid. Hand-built to the pack's own pricing-schedule layout; re-key onto the OFFICIAL schedule — never substitute this file for the issued form.</t>
        </is>
      </c>
    </row>
    <row r="4">
      <c r="A4" s="3" t="inlineStr">
        <is>
          <t>Tender</t>
        </is>
      </c>
      <c r="B4" t="inlineStr">
        <is>
          <t>TENDER 18-2025/26 — Musina LM: cloud helpdesk/ticketing system (3 years/36 months)</t>
        </is>
      </c>
    </row>
    <row r="5">
      <c r="A5" s="3" t="inlineStr">
        <is>
          <t>Bidder (fictional)</t>
        </is>
      </c>
      <c r="B5" t="inlineStr">
        <is>
          <t>Umzansi Infrastructure Group (Pty) Ltd</t>
        </is>
      </c>
    </row>
    <row r="6">
      <c r="A6" s="3" t="inlineStr">
        <is>
          <t>Quotation</t>
        </is>
      </c>
      <c r="B6" t="inlineStr">
        <is>
          <t>QTN-2026-00341 · Bid record TB-2026-00045 · Regime MBD</t>
        </is>
      </c>
    </row>
    <row r="7">
      <c r="A7" s="3" t="inlineStr">
        <is>
          <t>Shape</t>
        </is>
      </c>
      <c r="B7" t="inlineStr">
        <is>
          <t>The pack's own schedule (pages 11–12): Once-Off / Monthly / Annual per Year 1–3 plus per-unit call tariffs; no escalation formula prescribed — GCC §17 fixed price, so the mock schedule is flat-rated</t>
        </is>
      </c>
    </row>
    <row r="8">
      <c r="A8" s="3" t="inlineStr">
        <is>
          <t>Status</t>
        </is>
      </c>
      <c r="B8" t="inlineStr">
        <is>
          <t>RETROSPECTIVE SAMPLE — tender closed 2026-05-11; no submission possible</t>
        </is>
      </c>
    </row>
    <row r="9">
      <c r="A9" s="3" t="inlineStr">
        <is>
          <t>All amounts</t>
        </is>
      </c>
      <c r="B9" t="inlineStr">
        <is>
          <t>Rand, inclusive of VAT</t>
        </is>
      </c>
    </row>
    <row r="11">
      <c r="A11" s="3" t="inlineStr">
        <is>
          <t>A. Year-by-year grid (the pack's own layout)</t>
        </is>
      </c>
    </row>
    <row r="12">
      <c r="A12" s="4" t="inlineStr">
        <is>
          <t>Year</t>
        </is>
      </c>
      <c r="B12" s="4" t="inlineStr">
        <is>
          <t>Note</t>
        </is>
      </c>
      <c r="C12" s="4" t="inlineStr">
        <is>
          <t>Once-Off (R)</t>
        </is>
      </c>
      <c r="D12" s="4" t="inlineStr">
        <is>
          <t>Monthly (R)</t>
        </is>
      </c>
      <c r="E12" s="4" t="inlineStr">
        <is>
          <t>Annual (R)</t>
        </is>
      </c>
    </row>
    <row r="13">
      <c r="A13" s="5" t="inlineStr">
        <is>
          <t>Year 1</t>
        </is>
      </c>
      <c r="B13" s="5" t="inlineStr">
        <is>
          <t>Once-off: implementation + hardware + training + IVR (see B)</t>
        </is>
      </c>
      <c r="C13" s="6" t="n">
        <v>503750</v>
      </c>
      <c r="D13" s="6" t="n">
        <v>57500</v>
      </c>
      <c r="E13" s="6">
        <f>C13+D13*12</f>
        <v/>
      </c>
    </row>
    <row r="14">
      <c r="A14" s="5" t="inlineStr">
        <is>
          <t>Year 2</t>
        </is>
      </c>
      <c r="B14" s="5" t="inlineStr">
        <is>
          <t>Flat-rated (no escalation formula in pack)</t>
        </is>
      </c>
      <c r="C14" s="6" t="n">
        <v>0</v>
      </c>
      <c r="D14" s="6" t="n">
        <v>57500</v>
      </c>
      <c r="E14" s="6">
        <f>C14+D14*12</f>
        <v/>
      </c>
    </row>
    <row r="15">
      <c r="A15" s="5" t="inlineStr">
        <is>
          <t>Year 3</t>
        </is>
      </c>
      <c r="B15" s="5" t="inlineStr">
        <is>
          <t>Flat-rated (no escalation formula in pack)</t>
        </is>
      </c>
      <c r="C15" s="6" t="n">
        <v>0</v>
      </c>
      <c r="D15" s="6" t="n">
        <v>57500</v>
      </c>
      <c r="E15" s="6">
        <f>C15+D15*12</f>
        <v/>
      </c>
    </row>
    <row r="16">
      <c r="B16" s="7" t="inlineStr">
        <is>
          <t>3-YEAR TOTAL (QTN-2026-00341), incl VAT</t>
        </is>
      </c>
      <c r="C16" s="8">
        <f>SUM(C13:C15)</f>
        <v/>
      </c>
      <c r="D16" s="9" t="n"/>
      <c r="E16" s="10">
        <f>SUM(E13:E15)</f>
        <v/>
      </c>
    </row>
    <row r="18">
      <c r="A18" s="3" t="inlineStr">
        <is>
          <t>B. Once-off breakdown (Year 1)</t>
        </is>
      </c>
    </row>
    <row r="19">
      <c r="A19" s="4" t="inlineStr">
        <is>
          <t>Item</t>
        </is>
      </c>
      <c r="B19" s="4" t="inlineStr">
        <is>
          <t>Description</t>
        </is>
      </c>
      <c r="C19" s="4" t="inlineStr">
        <is>
          <t>Amount (R)</t>
        </is>
      </c>
      <c r="D19" s="4" t="inlineStr"/>
      <c r="E19" s="4" t="inlineStr"/>
    </row>
    <row r="20">
      <c r="A20" s="5" t="inlineStr">
        <is>
          <t>OO-1</t>
        </is>
      </c>
      <c r="B20" s="5" t="inlineStr">
        <is>
          <t>Implementation and migration</t>
        </is>
      </c>
      <c r="C20" s="6" t="n">
        <v>185000</v>
      </c>
    </row>
    <row r="21">
      <c r="A21" s="5" t="inlineStr">
        <is>
          <t>OO-2</t>
        </is>
      </c>
      <c r="B21" s="5" t="inlineStr">
        <is>
          <t>Mobile app</t>
        </is>
      </c>
      <c r="C21" s="6" t="n">
        <v>120000</v>
      </c>
    </row>
    <row r="22">
      <c r="A22" s="5" t="inlineStr">
        <is>
          <t>OO-3</t>
        </is>
      </c>
      <c r="B22" s="5" t="inlineStr">
        <is>
          <t>Hardware: 15 phones + headsets (reverts to municipality at term end)</t>
        </is>
      </c>
      <c r="C22" s="6" t="n">
        <v>96750</v>
      </c>
    </row>
    <row r="23">
      <c r="A23" s="5" t="inlineStr">
        <is>
          <t>OO-4</t>
        </is>
      </c>
      <c r="B23" s="5" t="inlineStr">
        <is>
          <t>Training</t>
        </is>
      </c>
      <c r="C23" s="6" t="n">
        <v>78000</v>
      </c>
    </row>
    <row r="24">
      <c r="A24" s="5" t="inlineStr">
        <is>
          <t>OO-5</t>
        </is>
      </c>
      <c r="B24" s="5" t="inlineStr">
        <is>
          <t>IVR / call-back / voice supervision setup</t>
        </is>
      </c>
      <c r="C24" s="6" t="n">
        <v>24000</v>
      </c>
    </row>
    <row r="25">
      <c r="B25" s="7" t="inlineStr">
        <is>
          <t>Once-off subtotal</t>
        </is>
      </c>
      <c r="C25" s="8">
        <f>SUM(C20:C24)</f>
        <v/>
      </c>
    </row>
    <row r="27">
      <c r="A27" s="3" t="inlineStr">
        <is>
          <t>C. Monthly recurring breakdown (each of months 1–36)</t>
        </is>
      </c>
    </row>
    <row r="28">
      <c r="A28" s="4" t="inlineStr">
        <is>
          <t>Item</t>
        </is>
      </c>
      <c r="B28" s="4" t="inlineStr">
        <is>
          <t>Description</t>
        </is>
      </c>
      <c r="C28" s="4" t="inlineStr">
        <is>
          <t>Monthly (R)</t>
        </is>
      </c>
      <c r="D28" s="4" t="inlineStr"/>
      <c r="E28" s="4" t="inlineStr"/>
    </row>
    <row r="29">
      <c r="A29" s="5" t="inlineStr">
        <is>
          <t>M-1</t>
        </is>
      </c>
      <c r="B29" s="5" t="inlineStr">
        <is>
          <t>Cloud call-centre/ticketing licensing — 15 users</t>
        </is>
      </c>
      <c r="C29" s="6" t="n">
        <v>28500</v>
      </c>
    </row>
    <row r="30">
      <c r="A30" s="5" t="inlineStr">
        <is>
          <t>M-2</t>
        </is>
      </c>
      <c r="B30" s="5" t="inlineStr">
        <is>
          <t>VoIP / SIP trunking</t>
        </is>
      </c>
      <c r="C30" s="6" t="n">
        <v>6900</v>
      </c>
    </row>
    <row r="31">
      <c r="A31" s="5" t="inlineStr">
        <is>
          <t>M-3</t>
        </is>
      </c>
      <c r="B31" s="5" t="inlineStr">
        <is>
          <t>WhatsApp channel</t>
        </is>
      </c>
      <c r="C31" s="6" t="n">
        <v>4200</v>
      </c>
    </row>
    <row r="32">
      <c r="A32" s="5" t="inlineStr">
        <is>
          <t>M-4</t>
        </is>
      </c>
      <c r="B32" s="5" t="inlineStr">
        <is>
          <t>SMS bundle</t>
        </is>
      </c>
      <c r="C32" s="6" t="n">
        <v>2750</v>
      </c>
    </row>
    <row r="33">
      <c r="A33" s="5" t="inlineStr">
        <is>
          <t>M-5</t>
        </is>
      </c>
      <c r="B33" s="5" t="inlineStr">
        <is>
          <t>Email sniffer / SSL</t>
        </is>
      </c>
      <c r="C33" s="6" t="n">
        <v>1450</v>
      </c>
    </row>
    <row r="34">
      <c r="A34" s="5" t="inlineStr">
        <is>
          <t>M-6</t>
        </is>
      </c>
      <c r="B34" s="5" t="inlineStr">
        <is>
          <t>Call recording and backup (18-month retention)</t>
        </is>
      </c>
      <c r="C34" s="6" t="n">
        <v>3900</v>
      </c>
    </row>
    <row r="35">
      <c r="A35" s="5" t="inlineStr">
        <is>
          <t>M-7</t>
        </is>
      </c>
      <c r="B35" s="5" t="inlineStr">
        <is>
          <t>Support and maintenance (07h00–21h00 desk + weekday on-site technician)</t>
        </is>
      </c>
      <c r="C35" s="6" t="n">
        <v>9800</v>
      </c>
    </row>
    <row r="36">
      <c r="B36" s="7" t="inlineStr">
        <is>
          <t>Monthly subtotal</t>
        </is>
      </c>
      <c r="C36" s="8">
        <f>SUM(C29:C35)</f>
        <v/>
      </c>
    </row>
    <row r="38">
      <c r="A38" s="3" t="inlineStr">
        <is>
          <t>D. Per-unit call tariffs (variable — outside the fixed total)</t>
        </is>
      </c>
    </row>
    <row r="39">
      <c r="A39" s="4" t="inlineStr">
        <is>
          <t>Item</t>
        </is>
      </c>
      <c r="B39" s="4" t="inlineStr">
        <is>
          <t>Description</t>
        </is>
      </c>
      <c r="C39" s="4" t="inlineStr">
        <is>
          <t>Unit</t>
        </is>
      </c>
      <c r="D39" s="4" t="inlineStr">
        <is>
          <t>Mock unit rate (R)</t>
        </is>
      </c>
      <c r="E39" s="4" t="inlineStr"/>
    </row>
    <row r="40">
      <c r="A40" s="5" t="inlineStr">
        <is>
          <t>T-1</t>
        </is>
      </c>
      <c r="B40" s="5" t="inlineStr">
        <is>
          <t>Outbound voice — local/national fixed line</t>
        </is>
      </c>
      <c r="C40" s="5" t="inlineStr">
        <is>
          <t>per minute</t>
        </is>
      </c>
      <c r="D40" s="6" t="n">
        <v>0.29</v>
      </c>
    </row>
    <row r="41">
      <c r="A41" s="5" t="inlineStr">
        <is>
          <t>T-2</t>
        </is>
      </c>
      <c r="B41" s="5" t="inlineStr">
        <is>
          <t>Outbound voice — mobile networks</t>
        </is>
      </c>
      <c r="C41" s="5" t="inlineStr">
        <is>
          <t>per minute</t>
        </is>
      </c>
      <c r="D41" s="6" t="n">
        <v>0.55</v>
      </c>
    </row>
    <row r="42">
      <c r="A42" s="5" t="inlineStr">
        <is>
          <t>T-3</t>
        </is>
      </c>
      <c r="B42" s="5" t="inlineStr">
        <is>
          <t>SMS beyond bundled volume</t>
        </is>
      </c>
      <c r="C42" s="5" t="inlineStr">
        <is>
          <t>per message</t>
        </is>
      </c>
      <c r="D42" s="6" t="n">
        <v>0.32</v>
      </c>
    </row>
    <row r="43">
      <c r="A43" s="2" t="inlineStr">
        <is>
          <t>Per the pack: "The call tariffs are costed on a unit cost basis, and the actual variable value thereof will be dependent on call activity over the term period." Unit rates above are mock placeholders; the toll-free number retention (existing call-centre number) carries no separate charge in this mock bid.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2026-08-20T20:42:17Z</dcterms:created>
  <dcterms:modified xsi:type="dcterms:W3CDTF">2026-08-20T20:42:17Z</dcterms:modified>
</cp:coreProperties>
</file>