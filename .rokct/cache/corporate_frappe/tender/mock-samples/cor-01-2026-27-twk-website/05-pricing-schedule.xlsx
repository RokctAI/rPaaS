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 #,##0.00"/>
  </numFmts>
  <fonts count="6">
    <font>
      <name val="Calibri"/>
      <family val="2"/>
      <color theme="1"/>
      <sz val="11"/>
      <scheme val="minor"/>
    </font>
    <font>
      <b val="1"/>
      <color rgb="009C0006"/>
    </font>
    <font>
      <i val="1"/>
      <sz val="9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4" borderId="0" pivotButton="0" quotePrefix="0" xfId="0"/>
    <xf numFmtId="0" fontId="0" fillId="4" borderId="0" pivotButton="0" quotePrefix="0" xfId="0"/>
    <xf numFmtId="164" fontId="3" fillId="4" borderId="0" pivotButton="0" quotePrefix="0" xfId="0"/>
    <xf numFmtId="164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10" customWidth="1" min="3" max="3"/>
    <col width="18" customWidth="1" min="4" max="4"/>
    <col width="18" customWidth="1" min="5" max="5"/>
  </cols>
  <sheetData>
    <row r="1">
      <c r="A1" s="1" t="inlineStr">
        <is>
          <t>MOCK BID — FICTIONAL BIDDER — NOT FOR SUBMISSION</t>
        </is>
      </c>
    </row>
    <row r="2">
      <c r="A2" s="2" t="inlineStr">
        <is>
          <t>All values are the fictional Umzansi Infrastructure Group (Pty) Ltd demo bid. Hand-built to the pack's own pricing-schedule layout; re-key onto the OFFICIAL schedule — never substitute this file for the issued form.</t>
        </is>
      </c>
    </row>
    <row r="4">
      <c r="A4" s="3" t="inlineStr">
        <is>
          <t>Tender</t>
        </is>
      </c>
      <c r="B4" t="inlineStr">
        <is>
          <t>COR 01/2026/27 — Theewaterskloof Municipality: municipal website</t>
        </is>
      </c>
    </row>
    <row r="5">
      <c r="A5" s="3" t="inlineStr">
        <is>
          <t>Bidder (fictional)</t>
        </is>
      </c>
      <c r="B5" t="inlineStr">
        <is>
          <t>Umzansi Infrastructure Group (Pty) Ltd</t>
        </is>
      </c>
    </row>
    <row r="6">
      <c r="A6" s="3" t="inlineStr">
        <is>
          <t>Quotation</t>
        </is>
      </c>
      <c r="B6" t="inlineStr">
        <is>
          <t>QTN-2026-00327 · Bid record TB-2026-00044 · Regime MBD</t>
        </is>
      </c>
    </row>
    <row r="7">
      <c r="A7" s="3" t="inlineStr">
        <is>
          <t>Shape</t>
        </is>
      </c>
      <c r="B7" t="inlineStr">
        <is>
          <t>5-year maintenance + hosting schedule, mock 5.0% p.a. CPI escalation (category-typical shape per client domain knowledge; advert's stated term ends 30 Jun 2029)</t>
        </is>
      </c>
    </row>
    <row r="8">
      <c r="A8" s="3" t="inlineStr">
        <is>
          <t>All amounts</t>
        </is>
      </c>
      <c r="B8" t="inlineStr">
        <is>
          <t>Rand, inclusive of VAT</t>
        </is>
      </c>
    </row>
    <row r="10">
      <c r="A10" s="3" t="inlineStr">
        <is>
          <t>A. Recurring: monthly hosting + maintenance retainer</t>
        </is>
      </c>
    </row>
    <row r="11">
      <c r="A11" s="4" t="inlineStr">
        <is>
          <t>Year</t>
        </is>
      </c>
      <c r="B11" s="4" t="inlineStr">
        <is>
          <t>Note</t>
        </is>
      </c>
      <c r="C11" s="4" t="inlineStr">
        <is>
          <t>Months</t>
        </is>
      </c>
      <c r="D11" s="4" t="inlineStr">
        <is>
          <t>Monthly rate (R)</t>
        </is>
      </c>
      <c r="E11" s="4" t="inlineStr">
        <is>
          <t>Annual amount (R)</t>
        </is>
      </c>
    </row>
    <row r="12">
      <c r="A12" s="5" t="inlineStr">
        <is>
          <t>Year 1</t>
        </is>
      </c>
      <c r="B12" s="5" t="inlineStr">
        <is>
          <t>Base: R6,500 hosting + R18,400 retainer</t>
        </is>
      </c>
      <c r="C12" s="5" t="n">
        <v>12</v>
      </c>
      <c r="D12" s="6" t="n">
        <v>24900</v>
      </c>
      <c r="E12" s="6">
        <f>C12*D12</f>
        <v/>
      </c>
    </row>
    <row r="13">
      <c r="A13" s="5" t="inlineStr">
        <is>
          <t>Year 2</t>
        </is>
      </c>
      <c r="B13" s="5" t="inlineStr">
        <is>
          <t>Mock 5.0% CPI escalation</t>
        </is>
      </c>
      <c r="C13" s="5" t="n">
        <v>12</v>
      </c>
      <c r="D13" s="6" t="n">
        <v>26145</v>
      </c>
      <c r="E13" s="6">
        <f>C13*D13</f>
        <v/>
      </c>
    </row>
    <row r="14">
      <c r="A14" s="5" t="inlineStr">
        <is>
          <t>Year 3</t>
        </is>
      </c>
      <c r="B14" s="5" t="inlineStr">
        <is>
          <t>Advert's stated term ends 30 Jun 2029 within this year</t>
        </is>
      </c>
      <c r="C14" s="5" t="n">
        <v>12</v>
      </c>
      <c r="D14" s="6" t="n">
        <v>27452</v>
      </c>
      <c r="E14" s="6">
        <f>C14*D14</f>
        <v/>
      </c>
    </row>
    <row r="15">
      <c r="A15" s="5" t="inlineStr">
        <is>
          <t>Year 4</t>
        </is>
      </c>
      <c r="B15" s="5" t="inlineStr">
        <is>
          <t>Beyond this advert's term — 5-year norm illustration</t>
        </is>
      </c>
      <c r="C15" s="5" t="n">
        <v>12</v>
      </c>
      <c r="D15" s="6" t="n">
        <v>28825</v>
      </c>
      <c r="E15" s="6">
        <f>C15*D15</f>
        <v/>
      </c>
    </row>
    <row r="16">
      <c r="A16" s="5" t="inlineStr">
        <is>
          <t>Year 5</t>
        </is>
      </c>
      <c r="B16" s="5" t="inlineStr">
        <is>
          <t>Beyond this advert's term — 5-year norm illustration</t>
        </is>
      </c>
      <c r="C16" s="5" t="n">
        <v>12</v>
      </c>
      <c r="D16" s="6" t="n">
        <v>30266</v>
      </c>
      <c r="E16" s="6">
        <f>C16*D16</f>
        <v/>
      </c>
    </row>
    <row r="17">
      <c r="B17" s="7" t="inlineStr">
        <is>
          <t>Recurring subtotal (60 months)</t>
        </is>
      </c>
      <c r="C17" s="7">
        <f>SUM(C12:C16)</f>
        <v/>
      </c>
      <c r="D17" s="8" t="n"/>
      <c r="E17" s="9">
        <f>SUM(E12:E16)</f>
        <v/>
      </c>
    </row>
    <row r="19">
      <c r="A19" s="3" t="inlineStr">
        <is>
          <t>B. Once-off (Year 1)</t>
        </is>
      </c>
    </row>
    <row r="20">
      <c r="A20" s="4" t="inlineStr">
        <is>
          <t>Item</t>
        </is>
      </c>
      <c r="B20" s="4" t="inlineStr">
        <is>
          <t>Description</t>
        </is>
      </c>
      <c r="C20" s="4" t="inlineStr"/>
      <c r="D20" s="4" t="inlineStr"/>
      <c r="E20" s="4" t="inlineStr">
        <is>
          <t>Amount (R)</t>
        </is>
      </c>
    </row>
    <row r="21">
      <c r="A21" s="5" t="inlineStr">
        <is>
          <t>OO-1</t>
        </is>
      </c>
      <c r="B21" s="5" t="inlineStr">
        <is>
          <t>Website redevelopment</t>
        </is>
      </c>
      <c r="E21" s="6" t="n">
        <v>385000</v>
      </c>
    </row>
    <row r="22">
      <c r="A22" s="5" t="inlineStr">
        <is>
          <t>OO-2</t>
        </is>
      </c>
      <c r="B22" s="5" t="inlineStr">
        <is>
          <t>Content migration, WCAG accessibility and POPIA work</t>
        </is>
      </c>
      <c r="E22" s="6" t="n">
        <v>95000</v>
      </c>
    </row>
    <row r="23">
      <c r="A23" s="5" t="inlineStr">
        <is>
          <t>OO-3</t>
        </is>
      </c>
      <c r="B23" s="5" t="inlineStr">
        <is>
          <t>Training</t>
        </is>
      </c>
      <c r="E23" s="6" t="n">
        <v>48000</v>
      </c>
    </row>
    <row r="24">
      <c r="B24" s="7" t="inlineStr">
        <is>
          <t>Once-off subtotal</t>
        </is>
      </c>
      <c r="E24" s="9">
        <f>SUM(E21:E23)</f>
        <v/>
      </c>
    </row>
    <row r="26">
      <c r="B26" s="7" t="inlineStr">
        <is>
          <t>QUOTATION TOTAL (QTN-2026-00327), incl VAT</t>
        </is>
      </c>
      <c r="E26" s="10">
        <f>E17+E24</f>
        <v/>
      </c>
    </row>
    <row r="28">
      <c r="A28" s="2" t="inlineStr">
        <is>
          <t>Carry this total to the MBD 1 face field EXACTLY; verify to the cent. Whether the buyer accepts CPI/CPA escalation (and against which index) must be read from the official pack — if firm pricing is demanded, the escalated years collapse into a single fixed rate (KILL-ALT-OFFER risk if a prescribed formula is substituted).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2026-08-20T20:42:17Z</dcterms:created>
  <dcterms:modified xsi:type="dcterms:W3CDTF">2026-08-20T20:42:17Z</dcterms:modified>
</cp:coreProperties>
</file>